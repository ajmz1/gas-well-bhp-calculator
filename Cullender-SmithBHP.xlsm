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ny\Google Drive\Personal Website\Projects\Working_Articles\10_Gas_BHP_Calc\"/>
    </mc:Choice>
  </mc:AlternateContent>
  <xr:revisionPtr revIDLastSave="0" documentId="13_ncr:1_{44820BB9-8F02-41BA-AEFA-493D75B9437B}" xr6:coauthVersionLast="45" xr6:coauthVersionMax="45" xr10:uidLastSave="{00000000-0000-0000-0000-000000000000}"/>
  <bookViews>
    <workbookView xWindow="28680" yWindow="-21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1" l="1"/>
  <c r="T7" i="1"/>
  <c r="T6" i="1"/>
  <c r="T5" i="1"/>
  <c r="B18" i="1" l="1"/>
  <c r="B22" i="1"/>
  <c r="H22" i="1" s="1"/>
  <c r="K22" i="1" s="1"/>
  <c r="C22" i="1"/>
  <c r="I22" i="1" s="1"/>
  <c r="J22" i="1" s="1"/>
  <c r="A23" i="1"/>
  <c r="H23" i="1"/>
  <c r="K23" i="1" s="1"/>
  <c r="I23" i="1"/>
  <c r="J23" i="1" s="1"/>
  <c r="A24" i="1"/>
  <c r="B24" i="1"/>
  <c r="H24" i="1" s="1"/>
  <c r="K24" i="1" s="1"/>
  <c r="I24" i="1"/>
  <c r="J24" i="1" s="1"/>
  <c r="L24" i="1" l="1"/>
  <c r="M24" i="1"/>
  <c r="N24" i="1"/>
  <c r="O24" i="1"/>
  <c r="M23" i="1"/>
  <c r="L23" i="1"/>
  <c r="N23" i="1"/>
  <c r="O23" i="1"/>
  <c r="M22" i="1"/>
  <c r="L22" i="1"/>
  <c r="N22" i="1"/>
  <c r="O22" i="1"/>
  <c r="D23" i="1" l="1"/>
  <c r="E23" i="1" s="1"/>
  <c r="F23" i="1" s="1"/>
  <c r="D22" i="1"/>
  <c r="E22" i="1" s="1"/>
  <c r="F22" i="1" s="1"/>
  <c r="D24" i="1"/>
  <c r="E24" i="1" s="1"/>
  <c r="F24" i="1" s="1"/>
  <c r="G24" i="1" l="1"/>
  <c r="G23" i="1"/>
</calcChain>
</file>

<file path=xl/sharedStrings.xml><?xml version="1.0" encoding="utf-8"?>
<sst xmlns="http://schemas.openxmlformats.org/spreadsheetml/2006/main" count="45" uniqueCount="43">
  <si>
    <t>Input Data:</t>
  </si>
  <si>
    <t xml:space="preserve"> in</t>
  </si>
  <si>
    <t>L =</t>
  </si>
  <si>
    <t xml:space="preserve"> ft</t>
  </si>
  <si>
    <t xml:space="preserve"> psia</t>
  </si>
  <si>
    <t>Depth (ft)</t>
  </si>
  <si>
    <t>psia</t>
  </si>
  <si>
    <t>p (psia)</t>
  </si>
  <si>
    <t>A</t>
  </si>
  <si>
    <t>B</t>
  </si>
  <si>
    <t>C</t>
  </si>
  <si>
    <t>D</t>
  </si>
  <si>
    <t>Objective Function</t>
  </si>
  <si>
    <t xml:space="preserve"> Deg</t>
  </si>
  <si>
    <t>f =</t>
  </si>
  <si>
    <t>Z</t>
  </si>
  <si>
    <t>I</t>
  </si>
  <si>
    <t>p/ZT</t>
  </si>
  <si>
    <t xml:space="preserve"> MMscf/d</t>
  </si>
  <si>
    <t>d =</t>
  </si>
  <si>
    <t>p(psia)</t>
  </si>
  <si>
    <t>Cullender-SmithBHP.xls</t>
  </si>
  <si>
    <r>
      <t xml:space="preserve">Description: </t>
    </r>
    <r>
      <rPr>
        <sz val="10"/>
        <rFont val="Arial"/>
        <family val="2"/>
      </rPr>
      <t>This spreadsheet calculates bottom hole pressure with Cullender-Smith method.</t>
    </r>
  </si>
  <si>
    <r>
      <t>Instructions:</t>
    </r>
    <r>
      <rPr>
        <sz val="10"/>
        <rFont val="Arial"/>
        <family val="2"/>
      </rPr>
      <t xml:space="preserve">
Step 1: Input your data in the "Input Data" section.
Step 2: Click "Solution" button to get results.</t>
    </r>
  </si>
  <si>
    <r>
      <t>g</t>
    </r>
    <r>
      <rPr>
        <vertAlign val="subscript"/>
        <sz val="10"/>
        <rFont val="Arial"/>
        <family val="2"/>
      </rPr>
      <t>g</t>
    </r>
    <r>
      <rPr>
        <sz val="10"/>
        <rFont val="Arial"/>
        <family val="2"/>
      </rPr>
      <t xml:space="preserve"> = </t>
    </r>
  </si>
  <si>
    <r>
      <t>p</t>
    </r>
    <r>
      <rPr>
        <vertAlign val="subscript"/>
        <sz val="10"/>
        <rFont val="Arial"/>
        <family val="2"/>
      </rPr>
      <t>pc</t>
    </r>
  </si>
  <si>
    <r>
      <t>T</t>
    </r>
    <r>
      <rPr>
        <vertAlign val="subscript"/>
        <sz val="10"/>
        <rFont val="Arial"/>
        <family val="2"/>
      </rPr>
      <t>pc</t>
    </r>
  </si>
  <si>
    <r>
      <t xml:space="preserve"> 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R</t>
    </r>
  </si>
  <si>
    <r>
      <t>e/</t>
    </r>
    <r>
      <rPr>
        <sz val="10"/>
        <rFont val="Arial"/>
        <family val="2"/>
      </rPr>
      <t>d =</t>
    </r>
  </si>
  <si>
    <r>
      <t>q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</si>
  <si>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hf</t>
    </r>
    <r>
      <rPr>
        <sz val="10"/>
        <rFont val="Arial"/>
        <family val="2"/>
      </rPr>
      <t xml:space="preserve"> =</t>
    </r>
  </si>
  <si>
    <r>
      <t>T</t>
    </r>
    <r>
      <rPr>
        <vertAlign val="subscript"/>
        <sz val="10"/>
        <rFont val="Arial"/>
        <family val="2"/>
      </rPr>
      <t>hf</t>
    </r>
    <r>
      <rPr>
        <sz val="10"/>
        <rFont val="Arial"/>
        <family val="2"/>
      </rPr>
      <t xml:space="preserve"> =</t>
    </r>
  </si>
  <si>
    <r>
      <t xml:space="preserve"> 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F</t>
    </r>
  </si>
  <si>
    <r>
      <t>T</t>
    </r>
    <r>
      <rPr>
        <vertAlign val="subscript"/>
        <sz val="10"/>
        <rFont val="Arial"/>
        <family val="2"/>
      </rPr>
      <t>wf</t>
    </r>
    <r>
      <rPr>
        <sz val="10"/>
        <rFont val="Arial"/>
        <family val="2"/>
      </rPr>
      <t xml:space="preserve"> =</t>
    </r>
  </si>
  <si>
    <r>
      <t>q</t>
    </r>
    <r>
      <rPr>
        <vertAlign val="subscript"/>
        <sz val="10"/>
        <rFont val="Arial"/>
        <family val="2"/>
      </rPr>
      <t>msc</t>
    </r>
    <r>
      <rPr>
        <sz val="10"/>
        <rFont val="Arial"/>
        <family val="2"/>
      </rPr>
      <t xml:space="preserve"> =</t>
    </r>
  </si>
  <si>
    <r>
      <t>T 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R)</t>
    </r>
  </si>
  <si>
    <r>
      <t>T</t>
    </r>
    <r>
      <rPr>
        <vertAlign val="subscript"/>
        <sz val="10"/>
        <rFont val="Arial"/>
        <family val="2"/>
      </rPr>
      <t xml:space="preserve"> </t>
    </r>
    <r>
      <rPr>
        <sz val="10"/>
        <rFont val="Arial"/>
        <family val="2"/>
      </rPr>
      <t>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R)</t>
    </r>
  </si>
  <si>
    <r>
      <t>p</t>
    </r>
    <r>
      <rPr>
        <vertAlign val="subscript"/>
        <sz val="10"/>
        <rFont val="Arial"/>
        <family val="2"/>
      </rPr>
      <t xml:space="preserve">pr </t>
    </r>
  </si>
  <si>
    <r>
      <t>T</t>
    </r>
    <r>
      <rPr>
        <vertAlign val="subscript"/>
        <sz val="10"/>
        <rFont val="Arial"/>
        <family val="2"/>
      </rPr>
      <t>pr</t>
    </r>
    <r>
      <rPr>
        <sz val="10"/>
        <rFont val="Arial"/>
        <family val="2"/>
      </rPr>
      <t/>
    </r>
  </si>
  <si>
    <t>z</t>
  </si>
  <si>
    <t>py(1)</t>
  </si>
  <si>
    <t>excel</t>
  </si>
  <si>
    <t>py(9)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</si>
</sst>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0"/>
      <name val="Arial"/>
    </font>
    <font>
      <b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b/>
      <i/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/>
    <xf numFmtId="0" fontId="1" fillId="0" borderId="4" xfId="0" applyFont="1" applyBorder="1"/>
    <xf numFmtId="0" fontId="2" fillId="0" borderId="4" xfId="0" applyFont="1" applyBorder="1" applyAlignment="1">
      <alignment horizontal="right"/>
    </xf>
    <xf numFmtId="0" fontId="1" fillId="0" borderId="4" xfId="0" applyFont="1" applyBorder="1" applyAlignment="1">
      <alignment horizontal="left"/>
    </xf>
    <xf numFmtId="0" fontId="4" fillId="0" borderId="4" xfId="0" applyFont="1" applyBorder="1" applyAlignment="1">
      <alignment horizontal="right"/>
    </xf>
    <xf numFmtId="1" fontId="1" fillId="0" borderId="7" xfId="0" applyNumberFormat="1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5" xfId="0" applyFont="1" applyBorder="1"/>
    <xf numFmtId="0" fontId="4" fillId="0" borderId="4" xfId="0" applyFont="1" applyBorder="1"/>
    <xf numFmtId="0" fontId="4" fillId="0" borderId="0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4" fillId="0" borderId="0" xfId="0" applyFont="1" applyBorder="1" applyAlignment="1">
      <alignment horizontal="right"/>
    </xf>
    <xf numFmtId="2" fontId="4" fillId="0" borderId="0" xfId="0" applyNumberFormat="1" applyFont="1"/>
    <xf numFmtId="1" fontId="4" fillId="0" borderId="0" xfId="0" applyNumberFormat="1" applyFont="1"/>
    <xf numFmtId="0" fontId="1" fillId="0" borderId="4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Python (1-Cut)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Sheet1!$R$4:$R$6</c:f>
              <c:numCache>
                <c:formatCode>0</c:formatCode>
                <c:ptCount val="3"/>
                <c:pt idx="0" formatCode="General">
                  <c:v>2500</c:v>
                </c:pt>
                <c:pt idx="1">
                  <c:v>3021.1885299780402</c:v>
                </c:pt>
                <c:pt idx="2">
                  <c:v>3437.2741403137602</c:v>
                </c:pt>
              </c:numCache>
            </c:numRef>
          </c:xVal>
          <c:yVal>
            <c:numRef>
              <c:f>Sheet1!$Q$4:$Q$6</c:f>
              <c:numCache>
                <c:formatCode>General</c:formatCode>
                <c:ptCount val="3"/>
                <c:pt idx="0">
                  <c:v>0</c:v>
                </c:pt>
                <c:pt idx="1">
                  <c:v>5000</c:v>
                </c:pt>
                <c:pt idx="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BF-48A7-AC5A-C6CB3EB253E4}"/>
            </c:ext>
          </c:extLst>
        </c:ser>
        <c:ser>
          <c:idx val="1"/>
          <c:order val="1"/>
          <c:tx>
            <c:v>Excel (1-Cut)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Sheet1!$S$4:$S$6</c:f>
              <c:numCache>
                <c:formatCode>0</c:formatCode>
                <c:ptCount val="3"/>
                <c:pt idx="0">
                  <c:v>2500</c:v>
                </c:pt>
                <c:pt idx="1">
                  <c:v>3020.4542854715583</c:v>
                </c:pt>
                <c:pt idx="2">
                  <c:v>3442.8965188817037</c:v>
                </c:pt>
              </c:numCache>
            </c:numRef>
          </c:xVal>
          <c:yVal>
            <c:numRef>
              <c:f>Sheet1!$Q$4:$Q$6</c:f>
              <c:numCache>
                <c:formatCode>General</c:formatCode>
                <c:ptCount val="3"/>
                <c:pt idx="0">
                  <c:v>0</c:v>
                </c:pt>
                <c:pt idx="1">
                  <c:v>5000</c:v>
                </c:pt>
                <c:pt idx="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BF-48A7-AC5A-C6CB3EB253E4}"/>
            </c:ext>
          </c:extLst>
        </c:ser>
        <c:ser>
          <c:idx val="2"/>
          <c:order val="2"/>
          <c:tx>
            <c:v>Python (9-Cut)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Sheet1!$U$4:$U$14</c:f>
              <c:numCache>
                <c:formatCode>0.00</c:formatCode>
                <c:ptCount val="11"/>
                <c:pt idx="0" formatCode="General">
                  <c:v>2500</c:v>
                </c:pt>
                <c:pt idx="1">
                  <c:v>3059.01132478521</c:v>
                </c:pt>
                <c:pt idx="2">
                  <c:v>3548.9567021620001</c:v>
                </c:pt>
                <c:pt idx="3">
                  <c:v>3996.0617526183801</c:v>
                </c:pt>
              </c:numCache>
            </c:numRef>
          </c:xVal>
          <c:yVal>
            <c:numRef>
              <c:f>Sheet1!$T$4:$T$14</c:f>
              <c:numCache>
                <c:formatCode>General</c:formatCode>
                <c:ptCount val="11"/>
                <c:pt idx="0">
                  <c:v>0</c:v>
                </c:pt>
                <c:pt idx="1">
                  <c:v>3333.3333333333335</c:v>
                </c:pt>
                <c:pt idx="2">
                  <c:v>6666.666666666667</c:v>
                </c:pt>
                <c:pt idx="3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BF-48A7-AC5A-C6CB3EB25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098656"/>
        <c:axId val="468650384"/>
      </c:scatterChart>
      <c:valAx>
        <c:axId val="356098656"/>
        <c:scaling>
          <c:orientation val="minMax"/>
          <c:min val="25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0384"/>
        <c:crosses val="autoZero"/>
        <c:crossBetween val="midCat"/>
      </c:valAx>
      <c:valAx>
        <c:axId val="46865038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9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15</xdr:row>
          <xdr:rowOff>38100</xdr:rowOff>
        </xdr:from>
        <xdr:to>
          <xdr:col>0</xdr:col>
          <xdr:colOff>752475</xdr:colOff>
          <xdr:row>15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Solution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28575</xdr:colOff>
      <xdr:row>2</xdr:row>
      <xdr:rowOff>542925</xdr:rowOff>
    </xdr:from>
    <xdr:to>
      <xdr:col>29</xdr:col>
      <xdr:colOff>333375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9B9F0-36D3-4A1D-84DE-AD413AB04A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3"/>
  <sheetViews>
    <sheetView tabSelected="1" zoomScaleNormal="100" workbookViewId="0">
      <selection activeCell="B23" sqref="B23"/>
    </sheetView>
  </sheetViews>
  <sheetFormatPr defaultRowHeight="12.75" x14ac:dyDescent="0.2"/>
  <cols>
    <col min="1" max="1" width="12" style="10" customWidth="1"/>
    <col min="2" max="3" width="9.140625" style="10"/>
    <col min="4" max="4" width="9" style="10" customWidth="1"/>
    <col min="5" max="5" width="7.7109375" style="10" customWidth="1"/>
    <col min="6" max="6" width="8.42578125" style="10" customWidth="1"/>
    <col min="7" max="7" width="30.140625" style="9" customWidth="1"/>
    <col min="8" max="8" width="9.140625" style="10"/>
    <col min="9" max="11" width="9.140625" style="11"/>
    <col min="12" max="16384" width="9.140625" style="10"/>
  </cols>
  <sheetData>
    <row r="1" spans="1:21" x14ac:dyDescent="0.2">
      <c r="A1" s="1" t="s">
        <v>21</v>
      </c>
      <c r="B1" s="7"/>
      <c r="C1" s="7"/>
      <c r="D1" s="7"/>
      <c r="E1" s="7"/>
      <c r="F1" s="8"/>
    </row>
    <row r="2" spans="1:21" ht="29.25" customHeight="1" x14ac:dyDescent="0.2">
      <c r="A2" s="27" t="s">
        <v>22</v>
      </c>
      <c r="B2" s="30"/>
      <c r="C2" s="30"/>
      <c r="D2" s="30"/>
      <c r="E2" s="30"/>
      <c r="F2" s="29"/>
    </row>
    <row r="3" spans="1:21" ht="43.5" customHeight="1" x14ac:dyDescent="0.2">
      <c r="A3" s="27" t="s">
        <v>23</v>
      </c>
      <c r="B3" s="28"/>
      <c r="C3" s="28"/>
      <c r="D3" s="28"/>
      <c r="E3" s="28"/>
      <c r="F3" s="29"/>
      <c r="Q3" s="10" t="s">
        <v>39</v>
      </c>
      <c r="R3" s="10" t="s">
        <v>40</v>
      </c>
      <c r="S3" s="10" t="s">
        <v>41</v>
      </c>
      <c r="T3" s="10" t="s">
        <v>39</v>
      </c>
      <c r="U3" s="10" t="s">
        <v>42</v>
      </c>
    </row>
    <row r="4" spans="1:21" ht="18" customHeight="1" x14ac:dyDescent="0.2">
      <c r="A4" s="2" t="s">
        <v>0</v>
      </c>
      <c r="B4" s="12"/>
      <c r="C4" s="12"/>
      <c r="D4" s="12"/>
      <c r="E4" s="12"/>
      <c r="F4" s="13"/>
      <c r="Q4" s="10">
        <v>0</v>
      </c>
      <c r="R4" s="10">
        <v>2500</v>
      </c>
      <c r="S4" s="26">
        <v>2500</v>
      </c>
      <c r="T4" s="10">
        <v>0</v>
      </c>
      <c r="U4" s="10">
        <v>2500</v>
      </c>
    </row>
    <row r="5" spans="1:21" x14ac:dyDescent="0.2">
      <c r="A5" s="14"/>
      <c r="B5" s="12"/>
      <c r="C5" s="12"/>
      <c r="D5" s="12"/>
      <c r="E5" s="12"/>
      <c r="F5" s="13"/>
      <c r="Q5" s="10">
        <v>5000</v>
      </c>
      <c r="R5" s="26">
        <v>3021.1885299780402</v>
      </c>
      <c r="S5" s="26">
        <v>3020.4542854715583</v>
      </c>
      <c r="T5" s="10">
        <f>10000/3</f>
        <v>3333.3333333333335</v>
      </c>
      <c r="U5" s="25">
        <v>3059.01132478521</v>
      </c>
    </row>
    <row r="6" spans="1:21" ht="15.75" x14ac:dyDescent="0.3">
      <c r="A6" s="3" t="s">
        <v>24</v>
      </c>
      <c r="B6" s="12">
        <v>0.75</v>
      </c>
      <c r="C6" s="12"/>
      <c r="D6" s="12"/>
      <c r="E6" s="12"/>
      <c r="F6" s="13"/>
      <c r="H6" s="10" t="s">
        <v>25</v>
      </c>
      <c r="I6" s="11">
        <v>667</v>
      </c>
      <c r="J6" s="11" t="s">
        <v>6</v>
      </c>
      <c r="Q6" s="10">
        <v>10000</v>
      </c>
      <c r="R6" s="26">
        <v>3437.2741403137602</v>
      </c>
      <c r="S6" s="26">
        <v>3442.8965188817037</v>
      </c>
      <c r="T6" s="10">
        <f>T5+10000/3</f>
        <v>6666.666666666667</v>
      </c>
      <c r="U6" s="25">
        <v>3548.9567021620001</v>
      </c>
    </row>
    <row r="7" spans="1:21" ht="15.75" x14ac:dyDescent="0.3">
      <c r="A7" s="5" t="s">
        <v>19</v>
      </c>
      <c r="B7" s="12">
        <v>1</v>
      </c>
      <c r="C7" s="12" t="s">
        <v>1</v>
      </c>
      <c r="D7" s="12"/>
      <c r="E7" s="12"/>
      <c r="F7" s="13"/>
      <c r="H7" s="10" t="s">
        <v>26</v>
      </c>
      <c r="I7" s="11">
        <v>408</v>
      </c>
      <c r="J7" s="11" t="s">
        <v>27</v>
      </c>
      <c r="T7" s="10">
        <f>T6+10000/3</f>
        <v>10000</v>
      </c>
      <c r="U7" s="25">
        <v>3996.0617526183801</v>
      </c>
    </row>
    <row r="8" spans="1:21" x14ac:dyDescent="0.2">
      <c r="A8" s="3" t="s">
        <v>28</v>
      </c>
      <c r="B8" s="12">
        <v>1</v>
      </c>
      <c r="C8" s="12"/>
      <c r="D8" s="12"/>
      <c r="E8" s="12"/>
      <c r="F8" s="13"/>
      <c r="U8" s="25"/>
    </row>
    <row r="9" spans="1:21" x14ac:dyDescent="0.2">
      <c r="A9" s="5" t="s">
        <v>2</v>
      </c>
      <c r="B9" s="12">
        <v>10000</v>
      </c>
      <c r="C9" s="12" t="s">
        <v>3</v>
      </c>
      <c r="D9" s="12"/>
      <c r="E9" s="12"/>
      <c r="F9" s="13"/>
      <c r="U9" s="25"/>
    </row>
    <row r="10" spans="1:21" x14ac:dyDescent="0.2">
      <c r="A10" s="3" t="s">
        <v>29</v>
      </c>
      <c r="B10" s="12">
        <v>0</v>
      </c>
      <c r="C10" s="12" t="s">
        <v>13</v>
      </c>
      <c r="D10" s="12"/>
      <c r="E10" s="12"/>
      <c r="F10" s="13"/>
      <c r="U10" s="25"/>
    </row>
    <row r="11" spans="1:21" ht="15.75" x14ac:dyDescent="0.3">
      <c r="A11" s="5" t="s">
        <v>30</v>
      </c>
      <c r="B11" s="12">
        <v>2500</v>
      </c>
      <c r="C11" s="12" t="s">
        <v>4</v>
      </c>
      <c r="D11" s="12"/>
      <c r="E11" s="12"/>
      <c r="F11" s="13"/>
      <c r="U11" s="25"/>
    </row>
    <row r="12" spans="1:21" ht="15.75" x14ac:dyDescent="0.3">
      <c r="A12" s="5" t="s">
        <v>31</v>
      </c>
      <c r="B12" s="12">
        <v>35</v>
      </c>
      <c r="C12" s="12" t="s">
        <v>32</v>
      </c>
      <c r="D12" s="12"/>
      <c r="E12" s="12"/>
      <c r="F12" s="13"/>
      <c r="U12" s="25"/>
    </row>
    <row r="13" spans="1:21" ht="15.75" x14ac:dyDescent="0.3">
      <c r="A13" s="5" t="s">
        <v>33</v>
      </c>
      <c r="B13" s="12">
        <v>245</v>
      </c>
      <c r="C13" s="12" t="s">
        <v>32</v>
      </c>
      <c r="D13" s="12"/>
      <c r="E13" s="12"/>
      <c r="F13" s="13"/>
      <c r="U13" s="25"/>
    </row>
    <row r="14" spans="1:21" ht="15.75" x14ac:dyDescent="0.3">
      <c r="A14" s="5" t="s">
        <v>34</v>
      </c>
      <c r="B14" s="12">
        <v>0</v>
      </c>
      <c r="C14" s="12" t="s">
        <v>18</v>
      </c>
      <c r="D14" s="12"/>
      <c r="E14" s="12"/>
      <c r="F14" s="13"/>
      <c r="U14" s="25"/>
    </row>
    <row r="15" spans="1:21" x14ac:dyDescent="0.2">
      <c r="A15" s="5"/>
      <c r="B15" s="12"/>
      <c r="C15" s="12"/>
      <c r="D15" s="12"/>
      <c r="E15" s="12"/>
      <c r="F15" s="13"/>
    </row>
    <row r="16" spans="1:21" ht="26.25" customHeight="1" x14ac:dyDescent="0.2">
      <c r="A16" s="4"/>
      <c r="B16" s="12"/>
      <c r="C16" s="12"/>
      <c r="D16" s="12"/>
      <c r="E16" s="12"/>
      <c r="F16" s="13"/>
    </row>
    <row r="17" spans="1:15" x14ac:dyDescent="0.2">
      <c r="A17" s="4"/>
      <c r="B17" s="12"/>
      <c r="C17" s="12"/>
      <c r="D17" s="12"/>
      <c r="E17" s="12"/>
      <c r="F17" s="13"/>
    </row>
    <row r="18" spans="1:15" ht="18" customHeight="1" x14ac:dyDescent="0.2">
      <c r="A18" s="5" t="s">
        <v>14</v>
      </c>
      <c r="B18" s="12">
        <f>(1/(1.74-2*LOG(2*B8)))^2</f>
        <v>0.77225595520420798</v>
      </c>
      <c r="C18" s="12"/>
      <c r="D18" s="12"/>
      <c r="E18" s="12"/>
      <c r="F18" s="13"/>
    </row>
    <row r="19" spans="1:15" x14ac:dyDescent="0.2">
      <c r="A19" s="14"/>
      <c r="B19" s="12"/>
      <c r="C19" s="12"/>
      <c r="D19" s="12"/>
      <c r="E19" s="12"/>
      <c r="F19" s="13"/>
    </row>
    <row r="20" spans="1:15" ht="15.75" x14ac:dyDescent="0.3">
      <c r="A20" s="5" t="s">
        <v>5</v>
      </c>
      <c r="B20" s="15" t="s">
        <v>35</v>
      </c>
      <c r="C20" s="15" t="s">
        <v>7</v>
      </c>
      <c r="D20" s="15" t="s">
        <v>15</v>
      </c>
      <c r="E20" s="15" t="s">
        <v>17</v>
      </c>
      <c r="F20" s="16" t="s">
        <v>16</v>
      </c>
      <c r="G20" s="9" t="s">
        <v>12</v>
      </c>
      <c r="H20" s="11" t="s">
        <v>36</v>
      </c>
      <c r="I20" s="11" t="s">
        <v>20</v>
      </c>
      <c r="J20" s="11" t="s">
        <v>37</v>
      </c>
      <c r="K20" s="11" t="s">
        <v>38</v>
      </c>
      <c r="L20" s="11" t="s">
        <v>8</v>
      </c>
      <c r="M20" s="11" t="s">
        <v>9</v>
      </c>
      <c r="N20" s="11" t="s">
        <v>10</v>
      </c>
      <c r="O20" s="11" t="s">
        <v>11</v>
      </c>
    </row>
    <row r="21" spans="1:15" ht="3" customHeight="1" x14ac:dyDescent="0.2">
      <c r="A21" s="14"/>
      <c r="B21" s="12"/>
      <c r="C21" s="12"/>
      <c r="D21" s="12"/>
      <c r="E21" s="12"/>
      <c r="F21" s="13"/>
    </row>
    <row r="22" spans="1:15" ht="12.75" customHeight="1" x14ac:dyDescent="0.2">
      <c r="A22" s="14">
        <v>0</v>
      </c>
      <c r="B22" s="15">
        <f>B$12+(B$13-B$12)/B$9*A22+460</f>
        <v>495</v>
      </c>
      <c r="C22" s="15">
        <f>B11</f>
        <v>2500</v>
      </c>
      <c r="D22" s="17">
        <f>L22+(1-L22)/EXP(M22)+N22*J22^O22</f>
        <v>0.59127468096806912</v>
      </c>
      <c r="E22" s="12">
        <f>C22/D22/B22</f>
        <v>8.5417238604502241</v>
      </c>
      <c r="F22" s="13">
        <f>E22/(0.001*COS(B$10/57.3)*E22^2+0.6666*B$18*B$14^2/B$7^5)</f>
        <v>117.0723868316777</v>
      </c>
      <c r="H22" s="11">
        <f t="shared" ref="H22:I24" si="0">B22</f>
        <v>495</v>
      </c>
      <c r="I22" s="11">
        <f t="shared" si="0"/>
        <v>2500</v>
      </c>
      <c r="J22" s="11">
        <f>I22/I$6</f>
        <v>3.7481259370314843</v>
      </c>
      <c r="K22" s="11">
        <f>H22/I$7</f>
        <v>1.213235294117647</v>
      </c>
      <c r="L22" s="10">
        <f>1.39*(K22-0.92)^0.5-0.36*K22-0.101</f>
        <v>0.21493703568910497</v>
      </c>
      <c r="M22" s="10">
        <f>(0.62-0.23*K22)*J22+(0.066/(K22-0.86)-0.037)*J22^2+0.32/10^(9*(K22-1))*J22^6</f>
        <v>14.071540613429395</v>
      </c>
      <c r="N22" s="10">
        <f>0.132-0.32*LOG(K22)</f>
        <v>0.10513758853001962</v>
      </c>
      <c r="O22" s="10">
        <f>10^(0.3106-0.49*K22+0.1824*K22^2)</f>
        <v>0.96515383305612812</v>
      </c>
    </row>
    <row r="23" spans="1:15" x14ac:dyDescent="0.2">
      <c r="A23" s="14">
        <f>B9/2</f>
        <v>5000</v>
      </c>
      <c r="B23" s="15">
        <f>B$12+(B$13-B$12)/B$9*A23+460</f>
        <v>600</v>
      </c>
      <c r="C23" s="18">
        <v>3020.4542854715583</v>
      </c>
      <c r="D23" s="17">
        <f>L23+(1-L23)/EXP(M23)+N23*J23^O23</f>
        <v>0.77083878395914307</v>
      </c>
      <c r="E23" s="12">
        <f>C23/D23/B23</f>
        <v>6.5306657897129803</v>
      </c>
      <c r="F23" s="13">
        <f>E23/(0.001*COS(B$10/57.3)*E23^2+0.6666*B$18*B$14^2/B$7^5)</f>
        <v>153.123744530793</v>
      </c>
      <c r="G23" s="9">
        <f>C23-C22-18.75*B$6*B$9/(F23+F22)</f>
        <v>-9.8267345526892314E-4</v>
      </c>
      <c r="H23" s="11">
        <f t="shared" si="0"/>
        <v>600</v>
      </c>
      <c r="I23" s="11">
        <f t="shared" si="0"/>
        <v>3020.4542854715583</v>
      </c>
      <c r="J23" s="11">
        <f>I23/I$6</f>
        <v>4.5284172195975385</v>
      </c>
      <c r="K23" s="11">
        <f>H23/I$7</f>
        <v>1.4705882352941178</v>
      </c>
      <c r="L23" s="10">
        <f>1.39*(K23-0.92)^0.5-0.36*K23-0.101</f>
        <v>0.40099093521872253</v>
      </c>
      <c r="M23" s="10">
        <f>(0.62-0.23*K23)*J23+(0.066/(K23-0.86)-0.037)*J23^2+0.32/10^(9*(K23-1))*J23^6</f>
        <v>2.8943326073492077</v>
      </c>
      <c r="N23" s="10">
        <f>0.132-0.32*LOG(K23)</f>
        <v>7.8402852065995621E-2</v>
      </c>
      <c r="O23" s="10">
        <f>10^(0.3106-0.49*K23+0.1824*K23^2)</f>
        <v>0.96488472798748337</v>
      </c>
    </row>
    <row r="24" spans="1:15" x14ac:dyDescent="0.2">
      <c r="A24" s="19">
        <f>B9</f>
        <v>10000</v>
      </c>
      <c r="B24" s="20">
        <f>B$12+(B$13-B$12)/B$9*A24+460</f>
        <v>705</v>
      </c>
      <c r="C24" s="6">
        <v>3442.8965188817037</v>
      </c>
      <c r="D24" s="21">
        <f>L24+(1-L24)/EXP(M24)+N24*J24^O24</f>
        <v>0.87787479210842212</v>
      </c>
      <c r="E24" s="22">
        <f>C24/D24/B24</f>
        <v>5.5629130776216531</v>
      </c>
      <c r="F24" s="23">
        <f>E24/(0.001*COS(B$10/57.3)*E24^2+0.6666*B$18*B$14^2/B$7^5)</f>
        <v>179.76193157192674</v>
      </c>
      <c r="G24" s="9">
        <f>C24-C23-18.75*B$6*B$9/(F24+F23)</f>
        <v>-9.4677912102270056E-5</v>
      </c>
      <c r="H24" s="11">
        <f t="shared" si="0"/>
        <v>705</v>
      </c>
      <c r="I24" s="11">
        <f t="shared" si="0"/>
        <v>3442.8965188817037</v>
      </c>
      <c r="J24" s="11">
        <f>I24/I$6</f>
        <v>5.1617638963743682</v>
      </c>
      <c r="K24" s="11">
        <f>H24/I$7</f>
        <v>1.7279411764705883</v>
      </c>
      <c r="L24" s="10">
        <f>1.39*(K24-0.92)^0.5-0.36*K24-0.101</f>
        <v>0.52635029563805436</v>
      </c>
      <c r="M24" s="10">
        <f>(0.62-0.23*K24)*J24+(0.066/(K24-0.86)-0.037)*J24^2+0.32/10^(9*(K24-1))*J24^6</f>
        <v>2.1908001017830556</v>
      </c>
      <c r="N24" s="10">
        <f>0.132-0.32*LOG(K24)</f>
        <v>5.5990734751514004E-2</v>
      </c>
      <c r="O24" s="10">
        <f>10^(0.3106-0.49*K24+0.1824*K24^2)</f>
        <v>1.0198005102166599</v>
      </c>
    </row>
    <row r="25" spans="1:15" s="12" customFormat="1" x14ac:dyDescent="0.2">
      <c r="B25" s="15"/>
      <c r="C25" s="18"/>
      <c r="D25" s="17"/>
      <c r="E25" s="15"/>
      <c r="F25" s="15"/>
      <c r="G25" s="24"/>
      <c r="H25" s="15"/>
      <c r="I25" s="15"/>
      <c r="J25" s="15"/>
      <c r="K25" s="15"/>
    </row>
    <row r="26" spans="1:15" s="12" customFormat="1" x14ac:dyDescent="0.2">
      <c r="B26" s="15"/>
      <c r="C26" s="18"/>
      <c r="D26" s="17"/>
      <c r="E26" s="15"/>
      <c r="F26" s="15"/>
      <c r="G26" s="24"/>
      <c r="H26" s="15"/>
      <c r="I26" s="15"/>
      <c r="J26" s="15"/>
      <c r="K26" s="15"/>
    </row>
    <row r="27" spans="1:15" s="12" customFormat="1" x14ac:dyDescent="0.2">
      <c r="B27" s="15"/>
      <c r="C27" s="18"/>
      <c r="D27" s="17"/>
      <c r="E27" s="15"/>
      <c r="F27" s="15"/>
      <c r="G27" s="24"/>
      <c r="H27" s="15"/>
      <c r="I27" s="15"/>
      <c r="J27" s="15"/>
      <c r="K27" s="15"/>
    </row>
    <row r="28" spans="1:15" s="12" customFormat="1" x14ac:dyDescent="0.2">
      <c r="B28" s="15"/>
      <c r="C28" s="18"/>
      <c r="D28" s="17"/>
      <c r="E28" s="15"/>
      <c r="F28" s="15"/>
      <c r="G28" s="24"/>
      <c r="H28" s="15"/>
      <c r="I28" s="15"/>
      <c r="J28" s="15"/>
      <c r="K28" s="15"/>
    </row>
    <row r="29" spans="1:15" s="12" customFormat="1" x14ac:dyDescent="0.2">
      <c r="B29" s="15"/>
      <c r="C29" s="18"/>
      <c r="D29" s="17"/>
      <c r="E29" s="15"/>
      <c r="F29" s="15"/>
      <c r="G29" s="24"/>
      <c r="H29" s="15"/>
      <c r="I29" s="15"/>
      <c r="J29" s="15"/>
      <c r="K29" s="15"/>
    </row>
    <row r="30" spans="1:15" s="12" customFormat="1" x14ac:dyDescent="0.2">
      <c r="B30" s="15"/>
      <c r="C30" s="18"/>
      <c r="D30" s="17"/>
      <c r="E30" s="15"/>
      <c r="F30" s="15"/>
      <c r="G30" s="24"/>
      <c r="H30" s="15"/>
      <c r="I30" s="15"/>
      <c r="J30" s="15"/>
      <c r="K30" s="15"/>
    </row>
    <row r="31" spans="1:15" s="12" customFormat="1" x14ac:dyDescent="0.2">
      <c r="B31" s="15"/>
      <c r="C31" s="18"/>
      <c r="D31" s="17"/>
      <c r="E31" s="15"/>
      <c r="F31" s="15"/>
      <c r="G31" s="24"/>
      <c r="H31" s="15"/>
      <c r="I31" s="15"/>
      <c r="J31" s="15"/>
      <c r="K31" s="15"/>
    </row>
    <row r="32" spans="1:15" s="12" customFormat="1" x14ac:dyDescent="0.2">
      <c r="B32" s="15"/>
      <c r="C32" s="18"/>
      <c r="D32" s="17"/>
      <c r="E32" s="15"/>
      <c r="F32" s="15"/>
      <c r="G32" s="24"/>
      <c r="H32" s="15"/>
      <c r="I32" s="15"/>
      <c r="J32" s="15"/>
      <c r="K32" s="15"/>
    </row>
    <row r="33" spans="2:11" s="12" customFormat="1" x14ac:dyDescent="0.2">
      <c r="B33" s="15"/>
      <c r="C33" s="18"/>
      <c r="D33" s="17"/>
      <c r="E33" s="15"/>
      <c r="F33" s="15"/>
      <c r="G33" s="24"/>
      <c r="H33" s="15"/>
      <c r="I33" s="15"/>
      <c r="J33" s="15"/>
      <c r="K33" s="15"/>
    </row>
    <row r="34" spans="2:11" s="12" customFormat="1" x14ac:dyDescent="0.2">
      <c r="G34" s="24"/>
      <c r="I34" s="15"/>
      <c r="J34" s="15"/>
      <c r="K34" s="15"/>
    </row>
    <row r="35" spans="2:11" s="12" customFormat="1" x14ac:dyDescent="0.2">
      <c r="G35" s="24"/>
      <c r="I35" s="15"/>
      <c r="J35" s="15"/>
      <c r="K35" s="15"/>
    </row>
    <row r="36" spans="2:11" s="12" customFormat="1" x14ac:dyDescent="0.2">
      <c r="G36" s="24"/>
      <c r="I36" s="15"/>
      <c r="J36" s="15"/>
      <c r="K36" s="15"/>
    </row>
    <row r="37" spans="2:11" s="12" customFormat="1" x14ac:dyDescent="0.2">
      <c r="G37" s="24"/>
      <c r="I37" s="15"/>
      <c r="J37" s="15"/>
      <c r="K37" s="15"/>
    </row>
    <row r="38" spans="2:11" s="12" customFormat="1" x14ac:dyDescent="0.2">
      <c r="G38" s="24"/>
      <c r="I38" s="15"/>
      <c r="J38" s="15"/>
      <c r="K38" s="15"/>
    </row>
    <row r="39" spans="2:11" s="12" customFormat="1" x14ac:dyDescent="0.2">
      <c r="G39" s="24"/>
      <c r="I39" s="15"/>
      <c r="J39" s="15"/>
      <c r="K39" s="15"/>
    </row>
    <row r="40" spans="2:11" s="12" customFormat="1" x14ac:dyDescent="0.2">
      <c r="G40" s="24"/>
      <c r="I40" s="15"/>
      <c r="J40" s="15"/>
      <c r="K40" s="15"/>
    </row>
    <row r="41" spans="2:11" s="12" customFormat="1" x14ac:dyDescent="0.2">
      <c r="G41" s="24"/>
      <c r="I41" s="15"/>
      <c r="J41" s="15"/>
      <c r="K41" s="15"/>
    </row>
    <row r="42" spans="2:11" s="12" customFormat="1" x14ac:dyDescent="0.2">
      <c r="G42" s="24"/>
      <c r="I42" s="15"/>
      <c r="J42" s="15"/>
      <c r="K42" s="15"/>
    </row>
    <row r="43" spans="2:11" s="12" customFormat="1" x14ac:dyDescent="0.2">
      <c r="G43" s="24"/>
      <c r="I43" s="15"/>
      <c r="J43" s="15"/>
      <c r="K43" s="15"/>
    </row>
  </sheetData>
  <mergeCells count="2">
    <mergeCell ref="A3:F3"/>
    <mergeCell ref="A2:F2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olution">
                <anchor moveWithCells="1" sizeWithCells="1">
                  <from>
                    <xdr:col>0</xdr:col>
                    <xdr:colOff>9525</xdr:colOff>
                    <xdr:row>15</xdr:row>
                    <xdr:rowOff>38100</xdr:rowOff>
                  </from>
                  <to>
                    <xdr:col>0</xdr:col>
                    <xdr:colOff>752475</xdr:colOff>
                    <xdr:row>15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bgg4826</dc:creator>
  <cp:lastModifiedBy>Anthony Jimenez</cp:lastModifiedBy>
  <dcterms:created xsi:type="dcterms:W3CDTF">2004-05-04T18:47:42Z</dcterms:created>
  <dcterms:modified xsi:type="dcterms:W3CDTF">2020-11-18T04:10:23Z</dcterms:modified>
</cp:coreProperties>
</file>